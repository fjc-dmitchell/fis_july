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mitchell/OFMProjects/2025/newfis_january/reports/analysis report/"/>
    </mc:Choice>
  </mc:AlternateContent>
  <xr:revisionPtr revIDLastSave="0" documentId="8_{3EAE10FD-792F-A34F-90E1-D942C3C5E5D3}" xr6:coauthVersionLast="47" xr6:coauthVersionMax="47" xr10:uidLastSave="{00000000-0000-0000-0000-000000000000}"/>
  <bookViews>
    <workbookView xWindow="0" yWindow="880" windowWidth="36860" windowHeight="24440" tabRatio="500" xr2:uid="{00000000-000D-0000-FFFF-FFFF00000000}"/>
  </bookViews>
  <sheets>
    <sheet name="2018" sheetId="1" r:id="rId1"/>
  </sheets>
  <definedNames>
    <definedName name="activities">'2018'!$E$5</definedName>
    <definedName name="activity_totals">'2018'!$W$5</definedName>
    <definedName name="bfy1_branch">'2018'!$4:$4</definedName>
    <definedName name="bfy1_detail" localSheetId="0">'2018'!$5:$5</definedName>
    <definedName name="bfy1_header" localSheetId="0">'2018'!$1:$3</definedName>
    <definedName name="bfy1_subtotal">'2018'!$6:$6</definedName>
    <definedName name="bfy1_summary" localSheetId="0">'2018'!$7:$7</definedName>
    <definedName name="_xlnm.Print_Area" localSheetId="0">'2018'!$A:$V</definedName>
    <definedName name="_xlnm.Print_Titles" localSheetId="0">'2018'!$3:$4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6" i="1" l="1"/>
  <c r="E6" i="1"/>
  <c r="U7" i="1"/>
  <c r="T7" i="1"/>
  <c r="S7" i="1"/>
  <c r="R7" i="1"/>
  <c r="Q7" i="1"/>
  <c r="P7" i="1"/>
  <c r="R8" i="1" s="1"/>
  <c r="O7" i="1"/>
  <c r="N7" i="1"/>
  <c r="M7" i="1"/>
  <c r="L7" i="1"/>
  <c r="N8" i="1" s="1"/>
  <c r="K7" i="1"/>
  <c r="V5" i="1"/>
  <c r="V7" i="1" s="1"/>
  <c r="R5" i="1"/>
  <c r="N5" i="1"/>
  <c r="V8" i="1" l="1"/>
</calcChain>
</file>

<file path=xl/sharedStrings.xml><?xml version="1.0" encoding="utf-8"?>
<sst xmlns="http://schemas.openxmlformats.org/spreadsheetml/2006/main" count="49" uniqueCount="41">
  <si>
    <t>${division_branch} programs held in FY${bfy}</t>
  </si>
  <si>
    <t>${date_time}</t>
  </si>
  <si>
    <t>sorted by budget fiscal year, fund code, division code, branch sort code, branch code, activity number</t>
  </si>
  <si>
    <t>FY${prior_bfy} Two Year Fund for programs held in FY${bfy}</t>
  </si>
  <si>
    <t>FY${bfy} One Year Fund</t>
  </si>
  <si>
    <t>FY${bfy} Two Year Fund for programs held in FY${bfy}</t>
  </si>
  <si>
    <t>Activity</t>
  </si>
  <si>
    <t>Title</t>
  </si>
  <si>
    <t>City</t>
  </si>
  <si>
    <t>State</t>
  </si>
  <si>
    <t>Start Date</t>
  </si>
  <si>
    <t>End Date</t>
  </si>
  <si>
    <t>Projected</t>
  </si>
  <si>
    <t>Obligated</t>
  </si>
  <si>
    <t>Disbursed</t>
  </si>
  <si>
    <t>Total</t>
  </si>
  <si>
    <t>Program Total</t>
  </si>
  <si>
    <t>${branch}</t>
  </si>
  <si>
    <t>${bfy}</t>
  </si>
  <si>
    <t>${fund}</t>
  </si>
  <si>
    <t>${group}</t>
  </si>
  <si>
    <t>${actnum}</t>
  </si>
  <si>
    <t>${acttitle}</t>
  </si>
  <si>
    <t>${city}</t>
  </si>
  <si>
    <t>${state}</t>
  </si>
  <si>
    <t>${startdate}</t>
  </si>
  <si>
    <t>${enddate}</t>
  </si>
  <si>
    <t>${py_proj}</t>
  </si>
  <si>
    <t>${py_oblig}</t>
  </si>
  <si>
    <t>${py_disb}</t>
  </si>
  <si>
    <t>${cy_proj}</t>
  </si>
  <si>
    <t>${cy_oblig}</t>
  </si>
  <si>
    <t>${cy_disb}</t>
  </si>
  <si>
    <t>${cy2_proj}</t>
  </si>
  <si>
    <t>${cy2_oblig}</t>
  </si>
  <si>
    <t>${cy2_disb}</t>
  </si>
  <si>
    <t>${total_amount}</t>
  </si>
  <si>
    <t>Summary</t>
  </si>
  <si>
    <t xml:space="preserve">Number activities: </t>
  </si>
  <si>
    <t>Totals</t>
  </si>
  <si>
    <t>Total obligated or disbursed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</si>
</sst>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_(* #,##0.00_);_(* \(#,##0.00\);_(* \-??_);_(@_)"/>
  </numFmts>
  <fonts count="7" x14ac:knownFonts="1"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6" fillId="0" borderId="0" applyBorder="0" applyProtection="0"/>
    <xf numFmtId="0" fontId="6" fillId="0" borderId="0"/>
  </cellStyleXfs>
  <cellXfs count="25">
    <xf numFmtId="0" fontId="0" fillId="0" borderId="0" xfId="0"/>
    <xf numFmtId="165" fontId="4" fillId="0" borderId="0" xfId="0" applyNumberFormat="1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1" fillId="0" borderId="0" xfId="1" applyFont="1" applyBorder="1" applyAlignment="1" applyProtection="1">
      <alignment horizontal="right" vertical="center"/>
    </xf>
    <xf numFmtId="0" fontId="1" fillId="0" borderId="0" xfId="0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NumberFormat="1" applyFont="1" applyBorder="1" applyAlignment="1" applyProtection="1">
      <alignment horizontal="right" vertical="center"/>
    </xf>
    <xf numFmtId="0" fontId="3" fillId="0" borderId="0" xfId="0" applyFont="1" applyAlignment="1">
      <alignment horizontal="left"/>
    </xf>
    <xf numFmtId="165" fontId="4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P8"/>
  <sheetViews>
    <sheetView tabSelected="1" zoomScaleNormal="100" workbookViewId="0">
      <selection activeCell="W7" sqref="W7"/>
    </sheetView>
  </sheetViews>
  <sheetFormatPr baseColWidth="10" defaultColWidth="10.5" defaultRowHeight="16" x14ac:dyDescent="0.2"/>
  <cols>
    <col min="1" max="1" width="8" style="2" customWidth="1"/>
    <col min="2" max="2" width="9.83203125" style="2" customWidth="1"/>
    <col min="3" max="3" width="6.5" style="2" hidden="1" customWidth="1"/>
    <col min="4" max="4" width="54.83203125" style="2" customWidth="1"/>
    <col min="5" max="5" width="10.1640625" style="2" customWidth="1"/>
    <col min="6" max="6" width="88.5" style="2" customWidth="1"/>
    <col min="7" max="7" width="20.83203125" style="2" customWidth="1"/>
    <col min="8" max="8" width="8.1640625" style="2" customWidth="1"/>
    <col min="9" max="10" width="11.83203125" style="3" customWidth="1"/>
    <col min="11" max="22" width="15.83203125" style="4" customWidth="1"/>
    <col min="23" max="23" width="18.5" style="2" customWidth="1"/>
    <col min="24" max="1030" width="10.5" style="2"/>
  </cols>
  <sheetData>
    <row r="1" spans="1:1030" ht="19.5" customHeight="1" x14ac:dyDescent="0.2">
      <c r="A1" s="21" t="s">
        <v>0</v>
      </c>
      <c r="B1" s="21"/>
      <c r="C1" s="21"/>
      <c r="D1" s="21"/>
      <c r="E1" s="21"/>
      <c r="F1" s="21"/>
      <c r="G1" s="5"/>
      <c r="H1" s="5"/>
      <c r="I1" s="6"/>
      <c r="J1" s="6"/>
      <c r="V1" s="22" t="s">
        <v>1</v>
      </c>
      <c r="W1" s="22"/>
    </row>
    <row r="2" spans="1:1030" x14ac:dyDescent="0.2">
      <c r="A2" s="23" t="s">
        <v>2</v>
      </c>
      <c r="B2" s="23"/>
      <c r="C2" s="23"/>
      <c r="D2" s="23"/>
      <c r="E2" s="23"/>
      <c r="F2" s="23"/>
    </row>
    <row r="3" spans="1:1030" s="7" customFormat="1" ht="21.75" customHeight="1" x14ac:dyDescent="0.2">
      <c r="I3" s="8"/>
      <c r="J3" s="8"/>
      <c r="K3" s="24" t="s">
        <v>3</v>
      </c>
      <c r="L3" s="24"/>
      <c r="M3" s="24"/>
      <c r="N3" s="24"/>
      <c r="O3" s="24" t="s">
        <v>4</v>
      </c>
      <c r="P3" s="24"/>
      <c r="Q3" s="24"/>
      <c r="R3" s="24"/>
      <c r="S3" s="24" t="s">
        <v>5</v>
      </c>
      <c r="T3" s="24"/>
      <c r="U3" s="24"/>
      <c r="V3" s="24"/>
      <c r="W3" s="9"/>
    </row>
    <row r="4" spans="1:1030" s="10" customFormat="1" ht="21.75" customHeight="1" x14ac:dyDescent="0.2">
      <c r="A4" s="19" t="s">
        <v>17</v>
      </c>
      <c r="B4" s="19"/>
      <c r="C4" s="19"/>
      <c r="D4" s="19"/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/>
    </row>
    <row r="5" spans="1:1030" s="7" customFormat="1" ht="21" customHeight="1" x14ac:dyDescent="0.2"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8" t="s">
        <v>25</v>
      </c>
      <c r="J5" s="8" t="s">
        <v>26</v>
      </c>
      <c r="K5" s="12" t="s">
        <v>27</v>
      </c>
      <c r="L5" s="12" t="s">
        <v>28</v>
      </c>
      <c r="M5" s="12" t="s">
        <v>29</v>
      </c>
      <c r="N5" s="12">
        <f>SUM(K5:M5)</f>
        <v>0</v>
      </c>
      <c r="O5" s="12" t="s">
        <v>30</v>
      </c>
      <c r="P5" s="12" t="s">
        <v>31</v>
      </c>
      <c r="Q5" s="12" t="s">
        <v>32</v>
      </c>
      <c r="R5" s="12">
        <f>SUM(O5:Q5)</f>
        <v>0</v>
      </c>
      <c r="S5" s="12" t="s">
        <v>33</v>
      </c>
      <c r="T5" s="12" t="s">
        <v>34</v>
      </c>
      <c r="U5" s="12" t="s">
        <v>35</v>
      </c>
      <c r="V5" s="12">
        <f>SUM(S5:U5)</f>
        <v>0</v>
      </c>
      <c r="W5" s="12" t="s">
        <v>36</v>
      </c>
    </row>
    <row r="6" spans="1:1030" s="7" customFormat="1" ht="21" customHeight="1" x14ac:dyDescent="0.2">
      <c r="A6" s="20" t="s">
        <v>37</v>
      </c>
      <c r="B6" s="20"/>
      <c r="D6" s="13" t="s">
        <v>38</v>
      </c>
      <c r="E6" s="7">
        <f>ROWS(activities)</f>
        <v>1</v>
      </c>
      <c r="I6" s="8"/>
      <c r="J6" s="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f>SUM(activity_totals)</f>
        <v>0</v>
      </c>
    </row>
    <row r="7" spans="1:1030" s="10" customFormat="1" ht="21" customHeight="1" x14ac:dyDescent="0.2">
      <c r="A7" s="10" t="s">
        <v>39</v>
      </c>
      <c r="I7" s="11"/>
      <c r="J7" s="11"/>
      <c r="K7" s="14">
        <f t="shared" ref="K7:V7" si="0">SUM(K5)</f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  <c r="S7" s="14">
        <f t="shared" si="0"/>
        <v>0</v>
      </c>
      <c r="T7" s="14">
        <f t="shared" si="0"/>
        <v>0</v>
      </c>
      <c r="U7" s="14">
        <f t="shared" si="0"/>
        <v>0</v>
      </c>
      <c r="V7" s="14">
        <f t="shared" si="0"/>
        <v>0</v>
      </c>
      <c r="W7" s="15"/>
    </row>
    <row r="8" spans="1:1030" s="18" customFormat="1" ht="21" customHeight="1" x14ac:dyDescent="0.2">
      <c r="A8" s="15" t="s">
        <v>40</v>
      </c>
      <c r="B8" s="15"/>
      <c r="C8" s="15"/>
      <c r="D8" s="15"/>
      <c r="E8" s="15"/>
      <c r="F8" s="15"/>
      <c r="G8" s="15"/>
      <c r="H8" s="15"/>
      <c r="I8" s="16"/>
      <c r="J8" s="16"/>
      <c r="K8" s="17"/>
      <c r="L8" s="17"/>
      <c r="M8" s="17"/>
      <c r="N8" s="17">
        <f>L7+M7</f>
        <v>0</v>
      </c>
      <c r="O8" s="17"/>
      <c r="P8" s="17"/>
      <c r="Q8" s="17"/>
      <c r="R8" s="17">
        <f>P7+Q7</f>
        <v>0</v>
      </c>
      <c r="S8" s="17"/>
      <c r="T8" s="17"/>
      <c r="U8" s="17"/>
      <c r="V8" s="17">
        <f>T7+U7</f>
        <v>0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</row>
  </sheetData>
  <mergeCells count="8">
    <mergeCell ref="A4:D4"/>
    <mergeCell ref="A6:B6"/>
    <mergeCell ref="A1:F1"/>
    <mergeCell ref="V1:W1"/>
    <mergeCell ref="A2:F2"/>
    <mergeCell ref="K3:N3"/>
    <mergeCell ref="O3:R3"/>
    <mergeCell ref="S3:V3"/>
  </mergeCells>
  <pageMargins left="0.7" right="0.7" top="0.75" bottom="0.75" header="0.511811023622047" footer="0.51180555555555596"/>
  <pageSetup paperSize="5" scale="36" fitToHeight="0" orientation="landscape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2018</vt:lpstr>
      <vt:lpstr>activities</vt:lpstr>
      <vt:lpstr>activity_totals</vt:lpstr>
      <vt:lpstr>bfy1_branch</vt:lpstr>
      <vt:lpstr>'2018'!bfy1_detail</vt:lpstr>
      <vt:lpstr>'2018'!bfy1_header</vt:lpstr>
      <vt:lpstr>bfy1_subtotal</vt:lpstr>
      <vt:lpstr>'2018'!bfy1_summary</vt:lpstr>
      <vt:lpstr>'2018'!Print_Area</vt:lpstr>
      <vt:lpstr>'2018'!Print_Titles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Doug Mitchell</cp:lastModifiedBy>
  <cp:revision>0</cp:revision>
  <cp:lastPrinted>2023-02-16T16:51:47Z</cp:lastPrinted>
  <dcterms:created xsi:type="dcterms:W3CDTF">2023-02-16T15:09:28Z</dcterms:created>
  <dcterms:modified xsi:type="dcterms:W3CDTF">2025-02-23T18:21:58Z</dcterms:modified>
  <dc:language>en-US</dc:language>
</cp:coreProperties>
</file>