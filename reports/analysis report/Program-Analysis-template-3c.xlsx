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mitchell/OFMProjects/2025/newfis_january/reports/analysis report/"/>
    </mc:Choice>
  </mc:AlternateContent>
  <xr:revisionPtr revIDLastSave="0" documentId="8_{E0D6222F-270D-1141-A06C-EF6120BBA47B}" xr6:coauthVersionLast="47" xr6:coauthVersionMax="47" xr10:uidLastSave="{00000000-0000-0000-0000-000000000000}"/>
  <bookViews>
    <workbookView xWindow="5340" yWindow="5280" windowWidth="31380" windowHeight="17320" tabRatio="500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  <sheet name="2025" sheetId="8" r:id="rId8"/>
  </sheets>
  <definedNames>
    <definedName name="bfy1_branch" localSheetId="0">'2018'!$3:$4</definedName>
    <definedName name="bfy1_detail" localSheetId="0">'2018'!$5:$5</definedName>
    <definedName name="bfy1_header" localSheetId="0">'2018'!$1:$2</definedName>
    <definedName name="bfy1_subtotal" localSheetId="0">'2018'!$6:$6</definedName>
    <definedName name="bfy2_branch" localSheetId="1">'2019'!$3:$4</definedName>
    <definedName name="bfy2_detail" localSheetId="1">'2019'!$5:$5</definedName>
    <definedName name="bfy2_header" localSheetId="1">'2019'!$1:$2</definedName>
    <definedName name="bfy2_subtotal" localSheetId="1">'2019'!$6:$6</definedName>
    <definedName name="bfy3_branch" localSheetId="2">'2020'!$3:$4</definedName>
    <definedName name="bfy3_detail" localSheetId="2">'2020'!$5:$5</definedName>
    <definedName name="bfy3_header" localSheetId="2">'2020'!$1:$2</definedName>
    <definedName name="bfy3_subtotal" localSheetId="2">'2020'!$6:$6</definedName>
    <definedName name="bfy4_branch" localSheetId="3">'2021'!$3:$4</definedName>
    <definedName name="bfy4_detail" localSheetId="3">'2021'!$5:$5</definedName>
    <definedName name="bfy4_header" localSheetId="3">'2021'!$1:$2</definedName>
    <definedName name="bfy4_subtotal" localSheetId="3">'2021'!$6:$6</definedName>
    <definedName name="bfy5_branch" localSheetId="4">'2022'!$3:$4</definedName>
    <definedName name="bfy5_detail" localSheetId="4">'2022'!$5:$5</definedName>
    <definedName name="bfy5_header" localSheetId="4">'2022'!$1:$2</definedName>
    <definedName name="bfy5_subtotal" localSheetId="4">'2022'!$6:$6</definedName>
    <definedName name="bfy6_branch" localSheetId="5">'2023'!$3:$4</definedName>
    <definedName name="bfy6_detail" localSheetId="5">'2023'!$5:$5</definedName>
    <definedName name="bfy6_header" localSheetId="5">'2023'!$1:$2</definedName>
    <definedName name="bfy6_subtotal" localSheetId="5">'2023'!$6:$6</definedName>
    <definedName name="bfy7_branch" localSheetId="6">'2024'!$3:$4</definedName>
    <definedName name="bfy7_detail" localSheetId="6">'2024'!$5:$5</definedName>
    <definedName name="bfy7_header" localSheetId="6">'2024'!$1:$2</definedName>
    <definedName name="bfy7_subtotal" localSheetId="6">'2024'!$6:$6</definedName>
    <definedName name="bfy8_branch" localSheetId="7">'2025'!$3:$4</definedName>
    <definedName name="bfy8_detail" localSheetId="7">'2025'!$5:$5</definedName>
    <definedName name="bfy8_header" localSheetId="7">'2025'!$1:$2</definedName>
    <definedName name="bfy8_subtotal" localSheetId="7">'2025'!$6:$6</definedName>
    <definedName name="_xlnm.Print_Area" localSheetId="0">'2018'!$A:$W</definedName>
    <definedName name="_xlnm.Print_Area" localSheetId="1">'2019'!$A:$W</definedName>
    <definedName name="_xlnm.Print_Area" localSheetId="2">'2020'!$A:$W</definedName>
    <definedName name="_xlnm.Print_Area" localSheetId="3">'2021'!$A:$W</definedName>
    <definedName name="_xlnm.Print_Area" localSheetId="4">'2022'!$A:$W</definedName>
    <definedName name="_xlnm.Print_Area" localSheetId="5">'2023'!$A:$W</definedName>
    <definedName name="_xlnm.Print_Area" localSheetId="6">'2024'!$A:$W</definedName>
    <definedName name="_xlnm.Print_Area" localSheetId="7">'2025'!$A:$W</definedName>
    <definedName name="_xlnm.Print_Titles" localSheetId="0">'2018'!$3:$4</definedName>
    <definedName name="_xlnm.Print_Titles" localSheetId="1">'2019'!$3:$4</definedName>
    <definedName name="_xlnm.Print_Titles" localSheetId="2">'2020'!$3:$4</definedName>
    <definedName name="_xlnm.Print_Titles" localSheetId="3">'2021'!$3:$4</definedName>
    <definedName name="_xlnm.Print_Titles" localSheetId="4">'2022'!$3:$4</definedName>
    <definedName name="_xlnm.Print_Titles" localSheetId="5">'2023'!$3:$4</definedName>
    <definedName name="_xlnm.Print_Titles" localSheetId="6">'2024'!$3:$4</definedName>
    <definedName name="_xlnm.Print_Titles" localSheetId="7">'2025'!$3:$4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5" i="8" l="1"/>
  <c r="W6" i="8" s="1"/>
  <c r="W5" i="7"/>
  <c r="W6" i="7" s="1"/>
  <c r="W5" i="6"/>
  <c r="W6" i="6" s="1"/>
  <c r="W5" i="5"/>
  <c r="W6" i="5" s="1"/>
  <c r="W5" i="4"/>
  <c r="W6" i="4" s="1"/>
  <c r="W5" i="3"/>
  <c r="W6" i="3" s="1"/>
  <c r="W5" i="2"/>
  <c r="W6" i="2"/>
  <c r="E6" i="8"/>
  <c r="E6" i="7"/>
  <c r="E6" i="6"/>
  <c r="E6" i="5"/>
  <c r="E6" i="4"/>
  <c r="E6" i="3"/>
  <c r="E6" i="2"/>
  <c r="W6" i="1"/>
  <c r="E6" i="1"/>
  <c r="W5" i="1"/>
  <c r="V5" i="8"/>
  <c r="R5" i="8"/>
  <c r="N5" i="8"/>
  <c r="V5" i="7"/>
  <c r="R5" i="7"/>
  <c r="N5" i="7"/>
  <c r="V5" i="6"/>
  <c r="R5" i="6"/>
  <c r="N5" i="6"/>
  <c r="V5" i="5"/>
  <c r="R5" i="5"/>
  <c r="N5" i="5"/>
  <c r="V5" i="4"/>
  <c r="R5" i="4"/>
  <c r="N5" i="4"/>
  <c r="V5" i="3"/>
  <c r="R5" i="3"/>
  <c r="N5" i="3"/>
  <c r="V5" i="2"/>
  <c r="R5" i="2"/>
  <c r="N5" i="2"/>
  <c r="V5" i="1"/>
  <c r="R5" i="1"/>
  <c r="N5" i="1"/>
</calcChain>
</file>

<file path=xl/sharedStrings.xml><?xml version="1.0" encoding="utf-8"?>
<sst xmlns="http://schemas.openxmlformats.org/spreadsheetml/2006/main" count="368" uniqueCount="38">
  <si>
    <t>${division_branch} programs held in FY${bfy}</t>
  </si>
  <si>
    <t>${date_time}</t>
  </si>
  <si>
    <t>sorted by branch, budget fiscal year, fund, activity number</t>
  </si>
  <si>
    <t>FY${prior_bfy} Two Year Fund for programs held in FY${bfy}</t>
  </si>
  <si>
    <t>FY${bfy} One Year Fund</t>
  </si>
  <si>
    <t>FY${bfy} Two Year Fund for programs held in FY${bfy}</t>
  </si>
  <si>
    <t>${branch}</t>
  </si>
  <si>
    <t>Activity</t>
  </si>
  <si>
    <t>Title</t>
  </si>
  <si>
    <t>City</t>
  </si>
  <si>
    <t>State</t>
  </si>
  <si>
    <t>Start Date</t>
  </si>
  <si>
    <t>End Date</t>
  </si>
  <si>
    <t>Projected</t>
  </si>
  <si>
    <t>Obligated</t>
  </si>
  <si>
    <t>Disbursed</t>
  </si>
  <si>
    <t>Total</t>
  </si>
  <si>
    <t>Program Total</t>
  </si>
  <si>
    <t>${bfy}</t>
  </si>
  <si>
    <t>${fund}</t>
  </si>
  <si>
    <t>${group}</t>
  </si>
  <si>
    <t>${actnum}</t>
  </si>
  <si>
    <t>${acttitle}</t>
  </si>
  <si>
    <t>${city}</t>
  </si>
  <si>
    <t>${state}</t>
  </si>
  <si>
    <t>${startdate}</t>
  </si>
  <si>
    <t>${enddate}</t>
  </si>
  <si>
    <t>${py_proj}</t>
  </si>
  <si>
    <t>${py_oblig}</t>
  </si>
  <si>
    <t>${py_disb}</t>
  </si>
  <si>
    <t>${cy_proj}</t>
  </si>
  <si>
    <t>${cy_oblig}</t>
  </si>
  <si>
    <t>${cy_disb}</t>
  </si>
  <si>
    <t>${cy2_proj}</t>
  </si>
  <si>
    <t>${cy2_oblig}</t>
  </si>
  <si>
    <t>${cy2_disb}</t>
  </si>
  <si>
    <t>Summary</t>
  </si>
  <si>
    <t xml:space="preserve">Number activities: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</si>
</sst>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_(* #,##0.00_);_(* \(#,##0.00\);_(* \-??_);_(@_)"/>
  </numFmts>
  <fonts count="6" x14ac:knownFonts="1"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5" fontId="5" fillId="0" borderId="0" applyBorder="0" applyProtection="0"/>
    <xf numFmtId="0" fontId="5" fillId="0" borderId="0"/>
  </cellStyleXfs>
  <cellXfs count="2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1" fillId="0" borderId="5" xfId="1" applyFont="1" applyBorder="1" applyAlignment="1" applyProtection="1">
      <alignment horizontal="right" vertical="center"/>
    </xf>
    <xf numFmtId="165" fontId="1" fillId="0" borderId="0" xfId="1" applyFont="1" applyBorder="1" applyAlignment="1" applyProtection="1">
      <alignment horizontal="right" vertical="center"/>
    </xf>
    <xf numFmtId="165" fontId="1" fillId="0" borderId="6" xfId="1" applyFont="1" applyBorder="1" applyAlignment="1" applyProtection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vertical="center"/>
    </xf>
    <xf numFmtId="165" fontId="1" fillId="0" borderId="7" xfId="1" applyFont="1" applyBorder="1" applyAlignment="1" applyProtection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1" applyNumberFormat="1" applyFont="1" applyBorder="1" applyAlignment="1" applyProtection="1">
      <alignment horizontal="right" vertical="center"/>
    </xf>
    <xf numFmtId="0" fontId="3" fillId="0" borderId="0" xfId="0" applyFont="1" applyAlignment="1">
      <alignment horizontal="left"/>
    </xf>
    <xf numFmtId="165" fontId="4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P6"/>
  <sheetViews>
    <sheetView tabSelected="1" zoomScaleNormal="100" workbookViewId="0">
      <selection activeCell="A8" sqref="A8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>
        <f>SUM(N5,R5,V5)</f>
        <v>0</v>
      </c>
    </row>
    <row r="6" spans="1:24" s="6" customFormat="1" ht="21" customHeight="1" x14ac:dyDescent="0.2">
      <c r="A6" s="22" t="s">
        <v>36</v>
      </c>
      <c r="B6" s="22"/>
      <c r="D6" s="18" t="s">
        <v>37</v>
      </c>
      <c r="E6" s="19">
        <f>ROWS(E5:E5)</f>
        <v>1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>SUM(W5:W5)</f>
        <v>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P6"/>
  <sheetViews>
    <sheetView zoomScaleNormal="100" workbookViewId="0">
      <selection activeCell="A8" sqref="A8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>
        <f>SUM(N5,R5,V5)</f>
        <v>0</v>
      </c>
    </row>
    <row r="6" spans="1:24" s="6" customFormat="1" ht="21" customHeight="1" x14ac:dyDescent="0.2">
      <c r="A6" s="22" t="s">
        <v>36</v>
      </c>
      <c r="B6" s="22"/>
      <c r="D6" s="18" t="s">
        <v>37</v>
      </c>
      <c r="E6" s="19">
        <f>ROWS(E5:E5)</f>
        <v>1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>SUM(W5:W5)</f>
        <v>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P6"/>
  <sheetViews>
    <sheetView zoomScaleNormal="100" workbookViewId="0">
      <selection activeCell="A8" sqref="A8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>
        <f>SUM(N5,R5,V5)</f>
        <v>0</v>
      </c>
    </row>
    <row r="6" spans="1:24" s="6" customFormat="1" ht="21" customHeight="1" x14ac:dyDescent="0.2">
      <c r="A6" s="22" t="s">
        <v>36</v>
      </c>
      <c r="B6" s="22"/>
      <c r="D6" s="18" t="s">
        <v>37</v>
      </c>
      <c r="E6" s="19">
        <f>ROWS(E5:E5)</f>
        <v>1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>SUM(W5:W5)</f>
        <v>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P6"/>
  <sheetViews>
    <sheetView zoomScaleNormal="100" workbookViewId="0">
      <selection activeCell="A8" sqref="A8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>
        <f>SUM(N5,R5,V5)</f>
        <v>0</v>
      </c>
    </row>
    <row r="6" spans="1:24" s="6" customFormat="1" ht="21" customHeight="1" x14ac:dyDescent="0.2">
      <c r="A6" s="22" t="s">
        <v>36</v>
      </c>
      <c r="B6" s="22"/>
      <c r="D6" s="18" t="s">
        <v>37</v>
      </c>
      <c r="E6" s="19">
        <f>ROWS(E5:E5)</f>
        <v>1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>SUM(W5:W5)</f>
        <v>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P6"/>
  <sheetViews>
    <sheetView zoomScaleNormal="100" workbookViewId="0">
      <selection activeCell="A8" sqref="A8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>
        <f>SUM(N5,R5,V5)</f>
        <v>0</v>
      </c>
    </row>
    <row r="6" spans="1:24" s="6" customFormat="1" ht="21" customHeight="1" x14ac:dyDescent="0.2">
      <c r="A6" s="22" t="s">
        <v>36</v>
      </c>
      <c r="B6" s="22"/>
      <c r="D6" s="18" t="s">
        <v>37</v>
      </c>
      <c r="E6" s="19">
        <f>ROWS(E5:E5)</f>
        <v>1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>SUM(W5:W5)</f>
        <v>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P6"/>
  <sheetViews>
    <sheetView zoomScaleNormal="100" workbookViewId="0">
      <selection activeCell="A8" sqref="A8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>
        <f>SUM(N5,R5,V5)</f>
        <v>0</v>
      </c>
    </row>
    <row r="6" spans="1:24" s="6" customFormat="1" ht="21" customHeight="1" x14ac:dyDescent="0.2">
      <c r="A6" s="22" t="s">
        <v>36</v>
      </c>
      <c r="B6" s="22"/>
      <c r="D6" s="18" t="s">
        <v>37</v>
      </c>
      <c r="E6" s="19">
        <f>ROWS(E5:E5)</f>
        <v>1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>SUM(W5:W5)</f>
        <v>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P6"/>
  <sheetViews>
    <sheetView zoomScaleNormal="100" workbookViewId="0">
      <selection activeCell="A8" sqref="A8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>
        <f>SUM(N5,R5,V5)</f>
        <v>0</v>
      </c>
    </row>
    <row r="6" spans="1:24" s="6" customFormat="1" ht="21" customHeight="1" x14ac:dyDescent="0.2">
      <c r="A6" s="22" t="s">
        <v>36</v>
      </c>
      <c r="B6" s="22"/>
      <c r="D6" s="18" t="s">
        <v>37</v>
      </c>
      <c r="E6" s="19">
        <f>ROWS(E5:E5)</f>
        <v>1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>SUM(W5:W5)</f>
        <v>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P6"/>
  <sheetViews>
    <sheetView zoomScaleNormal="100" workbookViewId="0">
      <selection activeCell="A8" sqref="A8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>
        <f>SUM(N5,R5,V5)</f>
        <v>0</v>
      </c>
    </row>
    <row r="6" spans="1:24" s="6" customFormat="1" ht="21" customHeight="1" x14ac:dyDescent="0.2">
      <c r="A6" s="22" t="s">
        <v>36</v>
      </c>
      <c r="B6" s="22"/>
      <c r="D6" s="18" t="s">
        <v>37</v>
      </c>
      <c r="E6" s="19">
        <f>ROWS(E5:E5)</f>
        <v>1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>SUM(W5:W5)</f>
        <v>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  <vt:lpstr>'2018'!bfy1_branch</vt:lpstr>
      <vt:lpstr>'2018'!bfy1_detail</vt:lpstr>
      <vt:lpstr>'2018'!bfy1_header</vt:lpstr>
      <vt:lpstr>'2018'!bfy1_subtotal</vt:lpstr>
      <vt:lpstr>'2019'!bfy2_branch</vt:lpstr>
      <vt:lpstr>'2019'!bfy2_detail</vt:lpstr>
      <vt:lpstr>'2019'!bfy2_header</vt:lpstr>
      <vt:lpstr>'2019'!bfy2_subtotal</vt:lpstr>
      <vt:lpstr>'2020'!bfy3_branch</vt:lpstr>
      <vt:lpstr>'2020'!bfy3_detail</vt:lpstr>
      <vt:lpstr>'2020'!bfy3_header</vt:lpstr>
      <vt:lpstr>'2020'!bfy3_subtotal</vt:lpstr>
      <vt:lpstr>'2021'!bfy4_branch</vt:lpstr>
      <vt:lpstr>'2021'!bfy4_detail</vt:lpstr>
      <vt:lpstr>'2021'!bfy4_header</vt:lpstr>
      <vt:lpstr>'2021'!bfy4_subtotal</vt:lpstr>
      <vt:lpstr>'2022'!bfy5_branch</vt:lpstr>
      <vt:lpstr>'2022'!bfy5_detail</vt:lpstr>
      <vt:lpstr>'2022'!bfy5_header</vt:lpstr>
      <vt:lpstr>'2022'!bfy5_subtotal</vt:lpstr>
      <vt:lpstr>'2023'!bfy6_branch</vt:lpstr>
      <vt:lpstr>'2023'!bfy6_detail</vt:lpstr>
      <vt:lpstr>'2023'!bfy6_header</vt:lpstr>
      <vt:lpstr>'2023'!bfy6_subtotal</vt:lpstr>
      <vt:lpstr>'2024'!bfy7_branch</vt:lpstr>
      <vt:lpstr>'2024'!bfy7_detail</vt:lpstr>
      <vt:lpstr>'2024'!bfy7_header</vt:lpstr>
      <vt:lpstr>'2024'!bfy7_subtotal</vt:lpstr>
      <vt:lpstr>'2025'!bfy8_branch</vt:lpstr>
      <vt:lpstr>'2025'!bfy8_detail</vt:lpstr>
      <vt:lpstr>'2025'!bfy8_header</vt:lpstr>
      <vt:lpstr>'2025'!bfy8_subtotal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Doug Mitchell</cp:lastModifiedBy>
  <cp:revision>0</cp:revision>
  <cp:lastPrinted>2023-02-16T16:51:47Z</cp:lastPrinted>
  <dcterms:created xsi:type="dcterms:W3CDTF">2023-02-16T15:09:28Z</dcterms:created>
  <dcterms:modified xsi:type="dcterms:W3CDTF">2025-02-24T18:52:34Z</dcterms:modified>
  <dc:language>en-US</dc:language>
</cp:coreProperties>
</file>